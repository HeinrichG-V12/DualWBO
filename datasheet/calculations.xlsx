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174D5A1-E47C-45C4-B06B-1D662A856E94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ADC" sheetId="1" r:id="rId1"/>
    <sheet name="Ip" sheetId="2" r:id="rId2"/>
    <sheet name="wideband analog" sheetId="3" r:id="rId3"/>
  </sheets>
  <calcPr calcId="191029"/>
</workbook>
</file>

<file path=xl/calcChain.xml><?xml version="1.0" encoding="utf-8"?>
<calcChain xmlns="http://schemas.openxmlformats.org/spreadsheetml/2006/main">
  <c r="B3" i="1" l="1"/>
  <c r="B7" i="2"/>
  <c r="B3" i="2"/>
  <c r="C2" i="2"/>
  <c r="C1" i="2"/>
  <c r="C7" i="2" s="1"/>
  <c r="C6" i="1" l="1"/>
  <c r="C3" i="2"/>
  <c r="C8" i="1"/>
</calcChain>
</file>

<file path=xl/sharedStrings.xml><?xml version="1.0" encoding="utf-8"?>
<sst xmlns="http://schemas.openxmlformats.org/spreadsheetml/2006/main" count="13" uniqueCount="13">
  <si>
    <t>Ua</t>
  </si>
  <si>
    <t>Ua_cal</t>
  </si>
  <si>
    <t>Diff</t>
  </si>
  <si>
    <t>amp</t>
  </si>
  <si>
    <t>Rshunt</t>
  </si>
  <si>
    <t>Ip</t>
  </si>
  <si>
    <t>Volts</t>
  </si>
  <si>
    <t>Lambda</t>
  </si>
  <si>
    <t>LSB, mV</t>
  </si>
  <si>
    <t>ADC to volts</t>
  </si>
  <si>
    <t>volts to ADC</t>
  </si>
  <si>
    <t>ADC reference, V</t>
  </si>
  <si>
    <t>resolution,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</si>
</sst>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'wideband analog'!$B$1</c:f>
              <c:strCache>
                <c:ptCount val="1"/>
                <c:pt idx="0">
                  <c:v>Lambda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'wideband analog'!$A$2:$A$18</c:f>
              <c:numCache>
                <c:formatCode>0.00</c:formatCode>
                <c:ptCount val="17"/>
                <c:pt idx="0">
                  <c:v>0.5</c:v>
                </c:pt>
                <c:pt idx="1">
                  <c:v>0.75</c:v>
                </c:pt>
                <c:pt idx="2">
                  <c:v>1</c:v>
                </c:pt>
                <c:pt idx="3">
                  <c:v>1.25</c:v>
                </c:pt>
                <c:pt idx="4">
                  <c:v>1.5</c:v>
                </c:pt>
                <c:pt idx="5">
                  <c:v>1.75</c:v>
                </c:pt>
                <c:pt idx="6">
                  <c:v>2</c:v>
                </c:pt>
                <c:pt idx="7">
                  <c:v>2.25</c:v>
                </c:pt>
                <c:pt idx="8">
                  <c:v>2.5</c:v>
                </c:pt>
                <c:pt idx="9">
                  <c:v>2.75</c:v>
                </c:pt>
                <c:pt idx="10">
                  <c:v>3</c:v>
                </c:pt>
                <c:pt idx="11">
                  <c:v>3.25</c:v>
                </c:pt>
                <c:pt idx="12">
                  <c:v>3.5</c:v>
                </c:pt>
                <c:pt idx="13">
                  <c:v>3.75</c:v>
                </c:pt>
                <c:pt idx="14">
                  <c:v>4</c:v>
                </c:pt>
                <c:pt idx="15">
                  <c:v>4.25</c:v>
                </c:pt>
                <c:pt idx="16">
                  <c:v>4.5</c:v>
                </c:pt>
              </c:numCache>
            </c:numRef>
          </c:xVal>
          <c:yVal>
            <c:numRef>
              <c:f>'wideband analog'!$B$2:$B$18</c:f>
              <c:numCache>
                <c:formatCode>0.00</c:formatCode>
                <c:ptCount val="17"/>
                <c:pt idx="0">
                  <c:v>0.57999999999999996</c:v>
                </c:pt>
                <c:pt idx="1">
                  <c:v>0.62</c:v>
                </c:pt>
                <c:pt idx="2">
                  <c:v>0.66</c:v>
                </c:pt>
                <c:pt idx="3">
                  <c:v>0.7</c:v>
                </c:pt>
                <c:pt idx="4">
                  <c:v>0.74</c:v>
                </c:pt>
                <c:pt idx="5">
                  <c:v>0.78</c:v>
                </c:pt>
                <c:pt idx="6">
                  <c:v>0.82</c:v>
                </c:pt>
                <c:pt idx="7">
                  <c:v>0.86</c:v>
                </c:pt>
                <c:pt idx="8">
                  <c:v>0.9</c:v>
                </c:pt>
                <c:pt idx="9">
                  <c:v>0.94</c:v>
                </c:pt>
                <c:pt idx="10">
                  <c:v>0.99</c:v>
                </c:pt>
                <c:pt idx="11">
                  <c:v>1.03</c:v>
                </c:pt>
                <c:pt idx="12">
                  <c:v>1.07</c:v>
                </c:pt>
                <c:pt idx="13">
                  <c:v>1.1100000000000001</c:v>
                </c:pt>
                <c:pt idx="14">
                  <c:v>1.1499999999999999</c:v>
                </c:pt>
                <c:pt idx="15">
                  <c:v>1.19</c:v>
                </c:pt>
                <c:pt idx="16">
                  <c:v>1.23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5-464B-80E9-4BA257A4B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393920"/>
        <c:axId val="1154394400"/>
      </c:scatterChart>
      <c:valAx>
        <c:axId val="115439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4394400"/>
        <c:crosses val="autoZero"/>
        <c:crossBetween val="midCat"/>
      </c:valAx>
      <c:valAx>
        <c:axId val="115439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5439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297180</xdr:colOff>
      <xdr:row>3</xdr:row>
      <xdr:rowOff>160020</xdr:rowOff>
    </xdr:from>
    <xdr:to>
      <xdr:col>17</xdr:col>
      <xdr:colOff>15240</xdr:colOff>
      <xdr:row>27</xdr:row>
      <xdr:rowOff>7620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5449D7E-39A8-2F20-E8FC-7C7F7B167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220980</xdr:colOff>
      <xdr:row>28</xdr:row>
      <xdr:rowOff>30480</xdr:rowOff>
    </xdr:from>
    <xdr:to>
      <xdr:col>13</xdr:col>
      <xdr:colOff>122323</xdr:colOff>
      <xdr:row>33</xdr:row>
      <xdr:rowOff>167731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19F3476-32D4-B6CD-D388-AA93330B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8340" y="5151120"/>
          <a:ext cx="4656223" cy="10516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3" sqref="B3"/>
    </sheetView>
  </sheetViews>
  <sheetFormatPr baseColWidth="10" defaultColWidth="9.109375" defaultRowHeight="14.4" x14ac:dyDescent="0.3"/>
  <cols>
    <col min="1" max="1" width="15.44140625" bestFit="1" customWidth="1"/>
  </cols>
  <sheetData>
    <row r="1" spans="1:3" x14ac:dyDescent="0.3">
      <c r="A1" t="s">
        <v>11</v>
      </c>
      <c r="B1">
        <v>5</v>
      </c>
    </row>
    <row r="2" spans="1:3" x14ac:dyDescent="0.3">
      <c r="A2" t="s">
        <v>12</v>
      </c>
      <c r="B2">
        <v>16</v>
      </c>
    </row>
    <row r="3" spans="1:3" x14ac:dyDescent="0.3">
      <c r="A3" t="s">
        <v>8</v>
      </c>
      <c r="B3">
        <f>ROUND((B1/POWER(2,B2))*1000,2)</f>
        <v>0.08</v>
      </c>
    </row>
    <row r="6" spans="1:3" x14ac:dyDescent="0.3">
      <c r="A6" t="s">
        <v>9</v>
      </c>
      <c r="B6">
        <v>104</v>
      </c>
      <c r="C6">
        <f>B6*B3</f>
        <v>8.32</v>
      </c>
    </row>
    <row r="8" spans="1:3" x14ac:dyDescent="0.3">
      <c r="A8" t="s">
        <v>10</v>
      </c>
      <c r="B8">
        <v>0.51</v>
      </c>
      <c r="C8">
        <f>B8/B3</f>
        <v>6.375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0B6A-AD63-4770-9569-9EDA834974F5}">
  <dimension ref="A1:C7"/>
  <sheetViews>
    <sheetView workbookViewId="0">
      <selection activeCell="B1" sqref="B1"/>
    </sheetView>
  </sheetViews>
  <sheetFormatPr baseColWidth="10" defaultRowHeight="14.4" x14ac:dyDescent="0.3"/>
  <sheetData>
    <row r="1" spans="1:3" x14ac:dyDescent="0.3">
      <c r="A1" t="s">
        <v>0</v>
      </c>
      <c r="B1">
        <v>0.51</v>
      </c>
      <c r="C1">
        <f>B1*1000</f>
        <v>510</v>
      </c>
    </row>
    <row r="2" spans="1:3" x14ac:dyDescent="0.3">
      <c r="A2" t="s">
        <v>1</v>
      </c>
      <c r="B2">
        <v>1.5</v>
      </c>
      <c r="C2">
        <f>B2*1000</f>
        <v>1500</v>
      </c>
    </row>
    <row r="3" spans="1:3" x14ac:dyDescent="0.3">
      <c r="A3" t="s">
        <v>2</v>
      </c>
      <c r="B3">
        <f>B1-B2</f>
        <v>-0.99</v>
      </c>
      <c r="C3">
        <f>C1-C2</f>
        <v>-990</v>
      </c>
    </row>
    <row r="4" spans="1:3" x14ac:dyDescent="0.3">
      <c r="A4" t="s">
        <v>3</v>
      </c>
      <c r="B4">
        <v>8</v>
      </c>
      <c r="C4">
        <v>8</v>
      </c>
    </row>
    <row r="5" spans="1:3" x14ac:dyDescent="0.3">
      <c r="A5" t="s">
        <v>4</v>
      </c>
      <c r="B5">
        <v>61.9</v>
      </c>
      <c r="C5">
        <v>61.9</v>
      </c>
    </row>
    <row r="7" spans="1:3" x14ac:dyDescent="0.3">
      <c r="A7" t="s">
        <v>5</v>
      </c>
      <c r="B7" s="1">
        <f>((B1-B2)/(B4*B5))*1000</f>
        <v>-1.9991922455573503</v>
      </c>
      <c r="C7">
        <f>(C1-C2)/(C4*C5)</f>
        <v>-1.9991922455573505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CDAD-44DD-4992-81DD-0B704759DC8C}">
  <dimension ref="A1:B23"/>
  <sheetViews>
    <sheetView workbookViewId="0">
      <selection activeCell="F48" sqref="F48"/>
    </sheetView>
  </sheetViews>
  <sheetFormatPr baseColWidth="10"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s="2">
        <v>0.5</v>
      </c>
      <c r="B2" s="2">
        <v>0.57999999999999996</v>
      </c>
    </row>
    <row r="3" spans="1:2" x14ac:dyDescent="0.3">
      <c r="A3" s="2">
        <v>0.75</v>
      </c>
      <c r="B3" s="2">
        <v>0.62</v>
      </c>
    </row>
    <row r="4" spans="1:2" x14ac:dyDescent="0.3">
      <c r="A4" s="2">
        <v>1</v>
      </c>
      <c r="B4" s="2">
        <v>0.66</v>
      </c>
    </row>
    <row r="5" spans="1:2" x14ac:dyDescent="0.3">
      <c r="A5" s="2">
        <v>1.25</v>
      </c>
      <c r="B5" s="2">
        <v>0.7</v>
      </c>
    </row>
    <row r="6" spans="1:2" x14ac:dyDescent="0.3">
      <c r="A6" s="2">
        <v>1.5</v>
      </c>
      <c r="B6" s="2">
        <v>0.74</v>
      </c>
    </row>
    <row r="7" spans="1:2" x14ac:dyDescent="0.3">
      <c r="A7" s="2">
        <v>1.75</v>
      </c>
      <c r="B7" s="2">
        <v>0.78</v>
      </c>
    </row>
    <row r="8" spans="1:2" x14ac:dyDescent="0.3">
      <c r="A8" s="2">
        <v>2</v>
      </c>
      <c r="B8" s="2">
        <v>0.82</v>
      </c>
    </row>
    <row r="9" spans="1:2" x14ac:dyDescent="0.3">
      <c r="A9" s="2">
        <v>2.25</v>
      </c>
      <c r="B9" s="2">
        <v>0.86</v>
      </c>
    </row>
    <row r="10" spans="1:2" x14ac:dyDescent="0.3">
      <c r="A10" s="2">
        <v>2.5</v>
      </c>
      <c r="B10" s="2">
        <v>0.9</v>
      </c>
    </row>
    <row r="11" spans="1:2" x14ac:dyDescent="0.3">
      <c r="A11" s="2">
        <v>2.75</v>
      </c>
      <c r="B11" s="2">
        <v>0.94</v>
      </c>
    </row>
    <row r="12" spans="1:2" x14ac:dyDescent="0.3">
      <c r="A12" s="2">
        <v>3</v>
      </c>
      <c r="B12" s="2">
        <v>0.99</v>
      </c>
    </row>
    <row r="13" spans="1:2" x14ac:dyDescent="0.3">
      <c r="A13" s="2">
        <v>3.25</v>
      </c>
      <c r="B13" s="2">
        <v>1.03</v>
      </c>
    </row>
    <row r="14" spans="1:2" x14ac:dyDescent="0.3">
      <c r="A14" s="2">
        <v>3.5</v>
      </c>
      <c r="B14" s="2">
        <v>1.07</v>
      </c>
    </row>
    <row r="15" spans="1:2" x14ac:dyDescent="0.3">
      <c r="A15" s="2">
        <v>3.75</v>
      </c>
      <c r="B15" s="2">
        <v>1.1100000000000001</v>
      </c>
    </row>
    <row r="16" spans="1:2" x14ac:dyDescent="0.3">
      <c r="A16" s="2">
        <v>4</v>
      </c>
      <c r="B16" s="2">
        <v>1.1499999999999999</v>
      </c>
    </row>
    <row r="17" spans="1:2" x14ac:dyDescent="0.3">
      <c r="A17" s="2">
        <v>4.25</v>
      </c>
      <c r="B17" s="2">
        <v>1.19</v>
      </c>
    </row>
    <row r="18" spans="1:2" x14ac:dyDescent="0.3">
      <c r="A18" s="2">
        <v>4.5</v>
      </c>
      <c r="B18" s="2">
        <v>1.23</v>
      </c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</sheetData>
  <mergeCells count="3">
    <mergeCell ref="A21:B21"/>
    <mergeCell ref="A22:B22"/>
    <mergeCell ref="A23:B23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ADC</vt:lpstr>
      <vt:lpstr>Ip</vt:lpstr>
      <vt:lpstr>wideband analog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2026-06-02T14:54:05Z</dcterms:modified>
</cp:coreProperties>
</file>